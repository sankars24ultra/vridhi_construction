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t923w/Downloads/"/>
    </mc:Choice>
  </mc:AlternateContent>
  <xr:revisionPtr revIDLastSave="0" documentId="13_ncr:1_{97129657-96DF-164C-8AAC-96BC379AAAAA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Dashboard Summary" sheetId="1" r:id="rId1"/>
    <sheet name="Expense Log" sheetId="2" r:id="rId2"/>
    <sheet name="Material Tracker" sheetId="3" r:id="rId3"/>
    <sheet name="Labor Attendance" sheetId="4" r:id="rId4"/>
    <sheet name="Labor Weekly Sal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F6" i="5" s="1"/>
  <c r="H6" i="5" s="1"/>
  <c r="E5" i="5"/>
  <c r="F5" i="5" s="1"/>
  <c r="H5" i="5" s="1"/>
  <c r="H9" i="5" s="1"/>
  <c r="K8" i="4"/>
  <c r="E8" i="5" s="1"/>
  <c r="F8" i="5" s="1"/>
  <c r="H8" i="5" s="1"/>
  <c r="K7" i="4"/>
  <c r="E7" i="5" s="1"/>
  <c r="F7" i="5" s="1"/>
  <c r="H7" i="5" s="1"/>
  <c r="K6" i="4"/>
  <c r="K5" i="4"/>
  <c r="I7" i="3"/>
  <c r="H7" i="3"/>
  <c r="I6" i="3"/>
  <c r="H6" i="3"/>
  <c r="H9" i="3" s="1"/>
  <c r="I5" i="3"/>
  <c r="H5" i="3"/>
  <c r="E9" i="2"/>
  <c r="C4" i="1" s="1"/>
  <c r="C10" i="1"/>
  <c r="C9" i="1"/>
  <c r="F4" i="1"/>
  <c r="E4" i="1"/>
  <c r="B4" i="1"/>
  <c r="D4" i="1" s="1"/>
  <c r="C8" i="1" l="1"/>
  <c r="C11" i="1" s="1"/>
</calcChain>
</file>

<file path=xl/sharedStrings.xml><?xml version="1.0" encoding="utf-8"?>
<sst xmlns="http://schemas.openxmlformats.org/spreadsheetml/2006/main" count="108" uniqueCount="85">
  <si>
    <t>Total Advance Received
(மொத்த முன்பணம்)</t>
  </si>
  <si>
    <t>Total Expense Logged
(மொத்த செலவு)</t>
  </si>
  <si>
    <t>Cash in Hand (Petty Cash)
(கைவசம் உள்ள பணம்)</t>
  </si>
  <si>
    <t>Out of Pocket (Own Cash Used)
(சொந்தமாக செய்த செலவு)</t>
  </si>
  <si>
    <t>Total Weekly Labor Paid
(மொத்த வாராந்திர கூலி)</t>
  </si>
  <si>
    <t>Category</t>
  </si>
  <si>
    <t>Amount Spent (₹)</t>
  </si>
  <si>
    <t>Materials</t>
  </si>
  <si>
    <t>Labor Paid</t>
  </si>
  <si>
    <t>Other General Site Exp</t>
  </si>
  <si>
    <t>Total Project Cost</t>
  </si>
  <si>
    <t>Date (தேதி)</t>
  </si>
  <si>
    <t>Bill No (பில் எண்)</t>
  </si>
  <si>
    <t>Category (வகை)</t>
  </si>
  <si>
    <t>Description (விவரம்)</t>
  </si>
  <si>
    <t>Amount Spent (செலவுத் தொகை)</t>
  </si>
  <si>
    <t>Payment Mode (பணம் செலுத்திய முறை)</t>
  </si>
  <si>
    <t>Remarks / Approval Status</t>
  </si>
  <si>
    <t>2026-03-01</t>
  </si>
  <si>
    <t>B-101</t>
  </si>
  <si>
    <t>Cement procurement partial</t>
  </si>
  <si>
    <t>Client Advance</t>
  </si>
  <si>
    <t>Approved by Senior</t>
  </si>
  <si>
    <t>2026-03-02</t>
  </si>
  <si>
    <t>B-102</t>
  </si>
  <si>
    <t>Others</t>
  </si>
  <si>
    <t>Site safety signs &amp; tape</t>
  </si>
  <si>
    <t>Engineer Own Cash</t>
  </si>
  <si>
    <t>Reimbursement Pending</t>
  </si>
  <si>
    <t>2026-03-05</t>
  </si>
  <si>
    <t>B-105</t>
  </si>
  <si>
    <t>Emergency plumbing tool repair</t>
  </si>
  <si>
    <t>Total General Expenses:</t>
  </si>
  <si>
    <t>Material Name (பொருள் பெயர்)</t>
  </si>
  <si>
    <t>Vendor Name (வியாபாரி)</t>
  </si>
  <si>
    <t>Estimated Unit Price (₹)</t>
  </si>
  <si>
    <t>Actual Unit Price (₹)</t>
  </si>
  <si>
    <t>Quantity Received (அளவு)</t>
  </si>
  <si>
    <t>Unit (அலகு)</t>
  </si>
  <si>
    <t>Total Material Cost (₹)</t>
  </si>
  <si>
    <t>Price Deviation (விலை மாற்றம்)</t>
  </si>
  <si>
    <t>Cement</t>
  </si>
  <si>
    <t>ABC Traders</t>
  </si>
  <si>
    <t>Bags</t>
  </si>
  <si>
    <t>2026-03-03</t>
  </si>
  <si>
    <t>Steel Rods</t>
  </si>
  <si>
    <t>XYZ Steel Corp</t>
  </si>
  <si>
    <t>Tons</t>
  </si>
  <si>
    <t>2026-03-04</t>
  </si>
  <si>
    <t>River Sand</t>
  </si>
  <si>
    <t>Local Quarry</t>
  </si>
  <si>
    <t>Units</t>
  </si>
  <si>
    <t>Total Material Cost:</t>
  </si>
  <si>
    <t>Labor ID</t>
  </si>
  <si>
    <t>Labor Name (பெயர்)</t>
  </si>
  <si>
    <t>Mon</t>
  </si>
  <si>
    <t>Tue</t>
  </si>
  <si>
    <t>Wed</t>
  </si>
  <si>
    <t>Thu</t>
  </si>
  <si>
    <t>Fri</t>
  </si>
  <si>
    <t>Sat</t>
  </si>
  <si>
    <t>Sun</t>
  </si>
  <si>
    <t>Total Days Present</t>
  </si>
  <si>
    <t>L01</t>
  </si>
  <si>
    <t>Murugan</t>
  </si>
  <si>
    <t>Mason</t>
  </si>
  <si>
    <t>L02</t>
  </si>
  <si>
    <t>Arumugam</t>
  </si>
  <si>
    <t>L03</t>
  </si>
  <si>
    <t>Kumar</t>
  </si>
  <si>
    <t>Helper</t>
  </si>
  <si>
    <t>L04</t>
  </si>
  <si>
    <t>Ravi</t>
  </si>
  <si>
    <t>Role Category</t>
  </si>
  <si>
    <t>Daily Wage Rate (₹)</t>
  </si>
  <si>
    <t>Gross Salary Owed (₹)</t>
  </si>
  <si>
    <t>Advance Paid (₹)</t>
  </si>
  <si>
    <t>Net Payable / Balance (₹)</t>
  </si>
  <si>
    <t>Total Net Payout:</t>
  </si>
  <si>
    <t>SITE EXPENSE &amp; PROJECT DASHBOARD</t>
  </si>
  <si>
    <t>GENERAL EXPENSE LOG</t>
  </si>
  <si>
    <t xml:space="preserve">MATERIAL INFLOW &amp; TRACKER </t>
  </si>
  <si>
    <t>DAILY LABOR ATTENDANCE LOG</t>
  </si>
  <si>
    <t>Labor Name</t>
  </si>
  <si>
    <t>WEEKLY LABOR WAGES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</si>
</sst>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0">
    <font>
      <sz val="11"/>
      <color theme="1"/>
      <name val="Calibri"/>
      <family val="2"/>
      <scheme val="minor"/>
    </font>
    <font>
      <sz val="10"/>
      <name val="Segoe UI"/>
    </font>
    <font>
      <b/>
      <sz val="10"/>
      <name val="Segoe UI"/>
    </font>
    <font>
      <b/>
      <sz val="16"/>
      <color rgb="FFFFFFFF"/>
      <name val="Menlo Regular"/>
    </font>
    <font>
      <sz val="11"/>
      <color theme="1"/>
      <name val="Menlo Regular"/>
    </font>
    <font>
      <b/>
      <sz val="9"/>
      <color rgb="FF555555"/>
      <name val="Menlo Regular"/>
    </font>
    <font>
      <b/>
      <sz val="18"/>
      <color rgb="FF1F4E78"/>
      <name val="Menlo Regular"/>
    </font>
    <font>
      <b/>
      <sz val="11"/>
      <color rgb="FFFFFFFF"/>
      <name val="Menlo Regular"/>
    </font>
    <font>
      <sz val="10"/>
      <name val="Menlo Regular"/>
    </font>
    <font>
      <b/>
      <sz val="10"/>
      <name val="Menlo Regula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4"/>
        <bgColor rgb="FFF2F4F4"/>
      </patternFill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double">
        <color rgb="FF2C3E5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2" fillId="0" borderId="2" xfId="0" applyNumberFormat="1" applyFont="1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9" fillId="0" borderId="2" xfId="0" applyFont="1" applyBorder="1"/>
    <xf numFmtId="164" fontId="9" fillId="0" borderId="2" xfId="0" applyNumberFormat="1" applyFont="1" applyBorder="1"/>
    <xf numFmtId="0" fontId="7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Project Spending Breakdown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Summary'!$C$7</c:f>
              <c:strCache>
                <c:ptCount val="1"/>
                <c:pt idx="0">
                  <c:v>Amount Spent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Summary'!$B$8:$B$10</c:f>
              <c:strCache>
                <c:ptCount val="3"/>
                <c:pt idx="0">
                  <c:v>Materials</c:v>
                </c:pt>
                <c:pt idx="1">
                  <c:v>Labor Paid</c:v>
                </c:pt>
                <c:pt idx="2">
                  <c:v>Other General Site Exp</c:v>
                </c:pt>
              </c:strCache>
            </c:strRef>
          </c:cat>
          <c:val>
            <c:numRef>
              <c:f>'Dashboard Summary'!$C$8:$C$10</c:f>
              <c:numCache>
                <c:formatCode>\₹#,##0.00</c:formatCode>
                <c:ptCount val="3"/>
                <c:pt idx="0">
                  <c:v>375000</c:v>
                </c:pt>
                <c:pt idx="1">
                  <c:v>0</c:v>
                </c:pt>
                <c:pt idx="2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0-B542-8397-CEBFCB6BD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in ₹</a:t>
                </a:r>
              </a:p>
            </c:rich>
          </c:tx>
          <c:overlay val="0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Deviation Matrix (Estimated vs Actual Unit Price)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'Material Tracker'!$D$3</c:f>
              <c:strCache>
                <c:ptCount val="1"/>
                <c:pt idx="0">
                  <c:v>Estimated Unit Price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'Material Tracker'!$B$5:$B$7</c:f>
              <c:strCache>
                <c:ptCount val="3"/>
                <c:pt idx="0">
                  <c:v>Cement</c:v>
                </c:pt>
                <c:pt idx="1">
                  <c:v>Steel Rods</c:v>
                </c:pt>
                <c:pt idx="2">
                  <c:v>River Sand</c:v>
                </c:pt>
              </c:strCache>
            </c:strRef>
          </c:cat>
          <c:val>
            <c:numRef>
              <c:f>'Material Tracker'!$D$4:$D$7</c:f>
              <c:numCache>
                <c:formatCode>\₹#,##0.00</c:formatCode>
                <c:ptCount val="4"/>
                <c:pt idx="1">
                  <c:v>420</c:v>
                </c:pt>
                <c:pt idx="2">
                  <c:v>62000</c:v>
                </c:pt>
                <c:pt idx="3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0-8147-B2AA-892831AB99BD}"/>
            </c:ext>
          </c:extLst>
        </c:ser>
        <c:ser>
          <c:idx val="1"/>
          <c:order val="1"/>
          <c:tx>
            <c:strRef>
              <c:f>'Material Tracker'!$E$3</c:f>
              <c:strCache>
                <c:ptCount val="1"/>
                <c:pt idx="0">
                  <c:v>Actual Unit Price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'Material Tracker'!$B$5:$B$7</c:f>
              <c:strCache>
                <c:ptCount val="3"/>
                <c:pt idx="0">
                  <c:v>Cement</c:v>
                </c:pt>
                <c:pt idx="1">
                  <c:v>Steel Rods</c:v>
                </c:pt>
                <c:pt idx="2">
                  <c:v>River Sand</c:v>
                </c:pt>
              </c:strCache>
            </c:strRef>
          </c:cat>
          <c:val>
            <c:numRef>
              <c:f>'Material Tracker'!$E$4:$E$7</c:f>
              <c:numCache>
                <c:formatCode>\₹#,##0.00</c:formatCode>
                <c:ptCount val="4"/>
                <c:pt idx="1">
                  <c:v>450</c:v>
                </c:pt>
                <c:pt idx="2">
                  <c:v>61500</c:v>
                </c:pt>
                <c:pt idx="3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0-8147-B2AA-892831AB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Materials Ordered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Per Unit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Attendance Days Breakdown per Worker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'Labor Attendance'!$K$3</c:f>
              <c:strCache>
                <c:ptCount val="1"/>
                <c:pt idx="0">
                  <c:v>Total Days Present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'Labor Attendance'!$B$5:$B$8</c:f>
              <c:strCache>
                <c:ptCount val="4"/>
                <c:pt idx="0">
                  <c:v>Murugan</c:v>
                </c:pt>
                <c:pt idx="1">
                  <c:v>Arumugam</c:v>
                </c:pt>
                <c:pt idx="2">
                  <c:v>Kumar</c:v>
                </c:pt>
                <c:pt idx="3">
                  <c:v>Ravi</c:v>
                </c:pt>
              </c:strCache>
            </c:strRef>
          </c:cat>
          <c:val>
            <c:numRef>
              <c:f>'Labor Attendance'!$K$4:$K$8</c:f>
              <c:numCache>
                <c:formatCode>General</c:formatCode>
                <c:ptCount val="5"/>
                <c:pt idx="1">
                  <c:v>5.5</c:v>
                </c:pt>
                <c:pt idx="2">
                  <c:v>6</c:v>
                </c:pt>
                <c:pt idx="3">
                  <c:v>5</c:v>
                </c:pt>
                <c:pt idx="4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3-9941-8719-056726BC9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Labor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Present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Weekly Salary Disbursed per Laborer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'Labor Weekly Salary'!$H$3</c:f>
              <c:strCache>
                <c:ptCount val="1"/>
                <c:pt idx="0">
                  <c:v>Net Payable / Balance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'Labor Weekly Salary'!$B$5:$B$8</c:f>
              <c:strCache>
                <c:ptCount val="4"/>
                <c:pt idx="0">
                  <c:v>Murugan</c:v>
                </c:pt>
                <c:pt idx="1">
                  <c:v>Arumugam</c:v>
                </c:pt>
                <c:pt idx="2">
                  <c:v>Kumar</c:v>
                </c:pt>
                <c:pt idx="3">
                  <c:v>Ravi</c:v>
                </c:pt>
              </c:strCache>
            </c:strRef>
          </c:cat>
          <c:val>
            <c:numRef>
              <c:f>'Labor Weekly Salary'!$H$4:$H$8</c:f>
              <c:numCache>
                <c:formatCode>\₹#,##0.00</c:formatCode>
                <c:ptCount val="5"/>
                <c:pt idx="1">
                  <c:v>4950</c:v>
                </c:pt>
                <c:pt idx="2">
                  <c:v>5400</c:v>
                </c:pt>
                <c:pt idx="3">
                  <c:v>3000</c:v>
                </c:pt>
                <c:pt idx="4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C-724D-A4E0-0EA8F1B18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Labor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Owed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152400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15</xdr:row>
      <xdr:rowOff>38100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17</xdr:row>
      <xdr:rowOff>177800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16</xdr:row>
      <xdr:rowOff>38100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27" sqref="D27"/>
    </sheetView>
  </sheetViews>
  <sheetFormatPr baseColWidth="10" defaultColWidth="8.83203125" defaultRowHeight="15"/>
  <cols>
    <col min="1" max="1" width="25.6640625" style="7" customWidth="1"/>
    <col min="2" max="2" width="42" style="7" customWidth="1"/>
    <col min="3" max="3" width="65" style="7" customWidth="1"/>
    <col min="4" max="5" width="76" style="7" customWidth="1"/>
    <col min="6" max="6" width="49" style="7" customWidth="1"/>
    <col min="7" max="7" width="13" style="7" customWidth="1"/>
    <col min="8" max="16384" width="8.83203125" style="7"/>
  </cols>
  <sheetData>
    <row r="1" spans="1:7" ht="40" customHeight="1">
      <c r="A1" s="5" t="s">
        <v>79</v>
      </c>
      <c r="B1" s="6"/>
      <c r="C1" s="6"/>
      <c r="D1" s="6"/>
      <c r="E1" s="6"/>
      <c r="F1" s="6"/>
      <c r="G1" s="6"/>
    </row>
    <row r="3" spans="1:7" ht="25" customHeight="1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</row>
    <row r="4" spans="1:7" ht="30" customHeight="1">
      <c r="B4" s="9">
        <f>150000</f>
        <v>150000</v>
      </c>
      <c r="C4" s="9">
        <f>SUM('Expense Log'!E5:E100)</f>
        <v>99400</v>
      </c>
      <c r="D4" s="9">
        <f>B4-SUMIF('Expense Log'!F5:F100, "Client Advance", 'Expense Log'!E5:E100)</f>
        <v>105000</v>
      </c>
      <c r="E4" s="9">
        <f>SUMIF('Expense Log'!F5:F100, "Engineer Own Cash", 'Expense Log'!E5:E100)</f>
        <v>4700</v>
      </c>
      <c r="F4" s="9">
        <f>SUM('Labor Weekly Salary'!G5:G100)</f>
        <v>0</v>
      </c>
    </row>
    <row r="7" spans="1:7">
      <c r="B7" s="10" t="s">
        <v>5</v>
      </c>
      <c r="C7" s="10" t="s">
        <v>6</v>
      </c>
    </row>
    <row r="8" spans="1:7">
      <c r="B8" s="11" t="s">
        <v>7</v>
      </c>
      <c r="C8" s="12">
        <f>SUM('Material Tracker'!H5:H100)</f>
        <v>375000</v>
      </c>
    </row>
    <row r="9" spans="1:7">
      <c r="B9" s="11" t="s">
        <v>8</v>
      </c>
      <c r="C9" s="12">
        <f>SUM('Labor Weekly Salary'!G5:G100)</f>
        <v>0</v>
      </c>
    </row>
    <row r="10" spans="1:7">
      <c r="B10" s="11" t="s">
        <v>9</v>
      </c>
      <c r="C10" s="12">
        <f>SUMIF('Expense Log'!C5:C100, "Others", 'Expense Log'!E5:E100)</f>
        <v>4700</v>
      </c>
    </row>
    <row r="11" spans="1:7">
      <c r="B11" s="13" t="s">
        <v>10</v>
      </c>
      <c r="C11" s="14">
        <f>SUM(C8:C10)</f>
        <v>379700</v>
      </c>
    </row>
  </sheetData>
  <mergeCells count="1"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E15" sqref="E15"/>
    </sheetView>
  </sheetViews>
  <sheetFormatPr baseColWidth="10" defaultColWidth="8.83203125" defaultRowHeight="15"/>
  <cols>
    <col min="1" max="1" width="43" style="7" customWidth="1"/>
    <col min="2" max="2" width="21" style="7" customWidth="1"/>
    <col min="3" max="3" width="17" style="7" customWidth="1"/>
    <col min="4" max="4" width="33" style="7" customWidth="1"/>
    <col min="5" max="5" width="30" style="7" customWidth="1"/>
    <col min="6" max="6" width="37" style="7" customWidth="1"/>
    <col min="7" max="7" width="28" style="7" customWidth="1"/>
    <col min="8" max="16384" width="8.83203125" style="7"/>
  </cols>
  <sheetData>
    <row r="1" spans="1:7" ht="35" customHeight="1">
      <c r="A1" s="5" t="s">
        <v>80</v>
      </c>
      <c r="B1" s="6"/>
      <c r="C1" s="6"/>
      <c r="D1" s="6"/>
      <c r="E1" s="6"/>
      <c r="F1" s="6"/>
      <c r="G1" s="6"/>
    </row>
    <row r="3" spans="1:7" ht="28" customHeight="1">
      <c r="A3" s="15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5" t="s">
        <v>17</v>
      </c>
    </row>
    <row r="5" spans="1:7">
      <c r="A5" s="11" t="s">
        <v>18</v>
      </c>
      <c r="B5" s="11" t="s">
        <v>19</v>
      </c>
      <c r="C5" s="11" t="s">
        <v>7</v>
      </c>
      <c r="D5" s="11" t="s">
        <v>20</v>
      </c>
      <c r="E5" s="12">
        <v>45000</v>
      </c>
      <c r="F5" s="11" t="s">
        <v>21</v>
      </c>
      <c r="G5" s="11" t="s">
        <v>22</v>
      </c>
    </row>
    <row r="6" spans="1:7">
      <c r="A6" s="11" t="s">
        <v>23</v>
      </c>
      <c r="B6" s="11" t="s">
        <v>24</v>
      </c>
      <c r="C6" s="11" t="s">
        <v>25</v>
      </c>
      <c r="D6" s="11" t="s">
        <v>26</v>
      </c>
      <c r="E6" s="12">
        <v>1200</v>
      </c>
      <c r="F6" s="11" t="s">
        <v>27</v>
      </c>
      <c r="G6" s="11" t="s">
        <v>28</v>
      </c>
    </row>
    <row r="7" spans="1:7">
      <c r="A7" s="11" t="s">
        <v>29</v>
      </c>
      <c r="B7" s="11" t="s">
        <v>30</v>
      </c>
      <c r="C7" s="11" t="s">
        <v>25</v>
      </c>
      <c r="D7" s="11" t="s">
        <v>31</v>
      </c>
      <c r="E7" s="12">
        <v>3500</v>
      </c>
      <c r="F7" s="11" t="s">
        <v>27</v>
      </c>
      <c r="G7" s="11" t="s">
        <v>28</v>
      </c>
    </row>
    <row r="9" spans="1:7">
      <c r="D9" s="16" t="s">
        <v>32</v>
      </c>
      <c r="E9" s="14">
        <f>SUM(E5:E8)</f>
        <v>49700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F20" sqref="F20"/>
    </sheetView>
  </sheetViews>
  <sheetFormatPr baseColWidth="10" defaultColWidth="8.83203125" defaultRowHeight="15"/>
  <cols>
    <col min="1" max="1" width="23.6640625" customWidth="1"/>
    <col min="2" max="2" width="33.83203125" customWidth="1"/>
    <col min="3" max="3" width="27.83203125" customWidth="1"/>
    <col min="4" max="4" width="27" customWidth="1"/>
    <col min="5" max="5" width="24" customWidth="1"/>
    <col min="6" max="6" width="27" customWidth="1"/>
    <col min="7" max="7" width="23" customWidth="1"/>
    <col min="8" max="8" width="26" customWidth="1"/>
    <col min="9" max="9" width="33" customWidth="1"/>
  </cols>
  <sheetData>
    <row r="1" spans="1:9" ht="35" customHeight="1">
      <c r="A1" s="5" t="s">
        <v>81</v>
      </c>
      <c r="B1" s="6"/>
      <c r="C1" s="6"/>
      <c r="D1" s="6"/>
      <c r="E1" s="6"/>
      <c r="F1" s="6"/>
      <c r="G1" s="6"/>
      <c r="H1" s="6"/>
      <c r="I1" s="6"/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 ht="28" customHeight="1">
      <c r="A3" s="15" t="s">
        <v>11</v>
      </c>
      <c r="B3" s="15" t="s">
        <v>33</v>
      </c>
      <c r="C3" s="15" t="s">
        <v>34</v>
      </c>
      <c r="D3" s="15" t="s">
        <v>35</v>
      </c>
      <c r="E3" s="15" t="s">
        <v>36</v>
      </c>
      <c r="F3" s="15" t="s">
        <v>37</v>
      </c>
      <c r="G3" s="15" t="s">
        <v>38</v>
      </c>
      <c r="H3" s="15" t="s">
        <v>39</v>
      </c>
      <c r="I3" s="15" t="s">
        <v>40</v>
      </c>
    </row>
    <row r="5" spans="1:9">
      <c r="A5" s="1" t="s">
        <v>18</v>
      </c>
      <c r="B5" s="1" t="s">
        <v>41</v>
      </c>
      <c r="C5" s="1" t="s">
        <v>42</v>
      </c>
      <c r="D5" s="2">
        <v>420</v>
      </c>
      <c r="E5" s="2">
        <v>450</v>
      </c>
      <c r="F5" s="1">
        <v>100</v>
      </c>
      <c r="G5" s="1" t="s">
        <v>43</v>
      </c>
      <c r="H5" s="2">
        <f>E5*F5</f>
        <v>45000</v>
      </c>
      <c r="I5" s="2">
        <f>E5-D5</f>
        <v>30</v>
      </c>
    </row>
    <row r="6" spans="1:9">
      <c r="A6" s="1" t="s">
        <v>44</v>
      </c>
      <c r="B6" s="1" t="s">
        <v>45</v>
      </c>
      <c r="C6" s="1" t="s">
        <v>46</v>
      </c>
      <c r="D6" s="2">
        <v>62000</v>
      </c>
      <c r="E6" s="2">
        <v>61500</v>
      </c>
      <c r="F6" s="1">
        <v>2</v>
      </c>
      <c r="G6" s="1" t="s">
        <v>47</v>
      </c>
      <c r="H6" s="2">
        <f>E6*F6</f>
        <v>123000</v>
      </c>
      <c r="I6" s="2">
        <f>E6-D6</f>
        <v>-500</v>
      </c>
    </row>
    <row r="7" spans="1:9">
      <c r="A7" s="1" t="s">
        <v>48</v>
      </c>
      <c r="B7" s="1" t="s">
        <v>49</v>
      </c>
      <c r="C7" s="1" t="s">
        <v>50</v>
      </c>
      <c r="D7" s="2">
        <v>3500</v>
      </c>
      <c r="E7" s="2">
        <v>3900</v>
      </c>
      <c r="F7" s="1">
        <v>5</v>
      </c>
      <c r="G7" s="1" t="s">
        <v>51</v>
      </c>
      <c r="H7" s="2">
        <f>E7*F7</f>
        <v>19500</v>
      </c>
      <c r="I7" s="2">
        <f>E7-D7</f>
        <v>400</v>
      </c>
    </row>
    <row r="9" spans="1:9">
      <c r="G9" s="4" t="s">
        <v>52</v>
      </c>
      <c r="H9" s="3">
        <f>SUM(H5:H8)</f>
        <v>187500</v>
      </c>
    </row>
  </sheetData>
  <mergeCells count="1">
    <mergeCell ref="A1:I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B4" sqref="B4"/>
    </sheetView>
  </sheetViews>
  <sheetFormatPr baseColWidth="10" defaultColWidth="8.83203125" defaultRowHeight="15"/>
  <cols>
    <col min="1" max="1" width="65" style="7" customWidth="1"/>
    <col min="2" max="2" width="26.83203125" style="7" customWidth="1"/>
    <col min="3" max="3" width="22.6640625" style="7" customWidth="1"/>
    <col min="4" max="10" width="13" style="7" customWidth="1"/>
    <col min="11" max="11" width="24.33203125" style="7" customWidth="1"/>
    <col min="12" max="16384" width="8.83203125" style="7"/>
  </cols>
  <sheetData>
    <row r="1" spans="1:11" ht="35" customHeight="1">
      <c r="A1" s="5" t="s">
        <v>82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25" customHeight="1">
      <c r="A3" s="17" t="s">
        <v>53</v>
      </c>
      <c r="B3" s="17" t="s">
        <v>83</v>
      </c>
      <c r="C3" s="17" t="s">
        <v>5</v>
      </c>
      <c r="D3" s="17" t="s">
        <v>55</v>
      </c>
      <c r="E3" s="17" t="s">
        <v>56</v>
      </c>
      <c r="F3" s="17" t="s">
        <v>57</v>
      </c>
      <c r="G3" s="17" t="s">
        <v>58</v>
      </c>
      <c r="H3" s="17" t="s">
        <v>59</v>
      </c>
      <c r="I3" s="17" t="s">
        <v>60</v>
      </c>
      <c r="J3" s="17" t="s">
        <v>61</v>
      </c>
      <c r="K3" s="17" t="s">
        <v>62</v>
      </c>
    </row>
    <row r="5" spans="1:11">
      <c r="A5" s="11" t="s">
        <v>63</v>
      </c>
      <c r="B5" s="11" t="s">
        <v>64</v>
      </c>
      <c r="C5" s="11" t="s">
        <v>65</v>
      </c>
      <c r="D5" s="18">
        <v>1</v>
      </c>
      <c r="E5" s="18">
        <v>1</v>
      </c>
      <c r="F5" s="18">
        <v>1</v>
      </c>
      <c r="G5" s="18">
        <v>1</v>
      </c>
      <c r="H5" s="18">
        <v>1</v>
      </c>
      <c r="I5" s="18">
        <v>0.5</v>
      </c>
      <c r="J5" s="18">
        <v>0</v>
      </c>
      <c r="K5" s="19">
        <f>SUM(D5:J5)</f>
        <v>5.5</v>
      </c>
    </row>
    <row r="6" spans="1:11">
      <c r="A6" s="11" t="s">
        <v>66</v>
      </c>
      <c r="B6" s="11" t="s">
        <v>67</v>
      </c>
      <c r="C6" s="11" t="s">
        <v>65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0</v>
      </c>
      <c r="K6" s="19">
        <f>SUM(D6:J6)</f>
        <v>6</v>
      </c>
    </row>
    <row r="7" spans="1:11">
      <c r="A7" s="11" t="s">
        <v>68</v>
      </c>
      <c r="B7" s="11" t="s">
        <v>69</v>
      </c>
      <c r="C7" s="11" t="s">
        <v>70</v>
      </c>
      <c r="D7" s="18">
        <v>1</v>
      </c>
      <c r="E7" s="18">
        <v>1</v>
      </c>
      <c r="F7" s="18">
        <v>1</v>
      </c>
      <c r="G7" s="18">
        <v>0</v>
      </c>
      <c r="H7" s="18">
        <v>1</v>
      </c>
      <c r="I7" s="18">
        <v>1</v>
      </c>
      <c r="J7" s="18">
        <v>0</v>
      </c>
      <c r="K7" s="19">
        <f>SUM(D7:J7)</f>
        <v>5</v>
      </c>
    </row>
    <row r="8" spans="1:11">
      <c r="A8" s="11" t="s">
        <v>71</v>
      </c>
      <c r="B8" s="11" t="s">
        <v>72</v>
      </c>
      <c r="C8" s="11" t="s">
        <v>70</v>
      </c>
      <c r="D8" s="18">
        <v>1</v>
      </c>
      <c r="E8" s="18">
        <v>0.5</v>
      </c>
      <c r="F8" s="18">
        <v>1</v>
      </c>
      <c r="G8" s="18">
        <v>1</v>
      </c>
      <c r="H8" s="18">
        <v>1</v>
      </c>
      <c r="I8" s="18">
        <v>1</v>
      </c>
      <c r="J8" s="18">
        <v>0</v>
      </c>
      <c r="K8" s="19">
        <f>SUM(D8:J8)</f>
        <v>5.5</v>
      </c>
    </row>
  </sheetData>
  <mergeCells count="1">
    <mergeCell ref="A1:K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>
      <selection activeCell="A2" sqref="A2"/>
    </sheetView>
  </sheetViews>
  <sheetFormatPr baseColWidth="10" defaultColWidth="8.83203125" defaultRowHeight="15"/>
  <cols>
    <col min="1" max="1" width="70" style="7" customWidth="1"/>
    <col min="2" max="2" width="21" style="7" customWidth="1"/>
    <col min="3" max="3" width="16" style="7" customWidth="1"/>
    <col min="4" max="4" width="22" style="7" customWidth="1"/>
    <col min="5" max="5" width="25" style="7" customWidth="1"/>
    <col min="6" max="6" width="24" style="7" customWidth="1"/>
    <col min="7" max="7" width="19" style="7" customWidth="1"/>
    <col min="8" max="8" width="28" style="7" customWidth="1"/>
    <col min="9" max="16384" width="8.83203125" style="7"/>
  </cols>
  <sheetData>
    <row r="1" spans="1:8" ht="35" customHeight="1">
      <c r="A1" s="5" t="s">
        <v>84</v>
      </c>
      <c r="B1" s="6"/>
      <c r="C1" s="6"/>
      <c r="D1" s="6"/>
      <c r="E1" s="6"/>
      <c r="F1" s="6"/>
      <c r="G1" s="6"/>
      <c r="H1" s="6"/>
    </row>
    <row r="3" spans="1:8" ht="28" customHeight="1">
      <c r="A3" s="15" t="s">
        <v>53</v>
      </c>
      <c r="B3" s="15" t="s">
        <v>54</v>
      </c>
      <c r="C3" s="15" t="s">
        <v>73</v>
      </c>
      <c r="D3" s="15" t="s">
        <v>74</v>
      </c>
      <c r="E3" s="15" t="s">
        <v>62</v>
      </c>
      <c r="F3" s="15" t="s">
        <v>75</v>
      </c>
      <c r="G3" s="15" t="s">
        <v>76</v>
      </c>
      <c r="H3" s="15" t="s">
        <v>77</v>
      </c>
    </row>
    <row r="5" spans="1:8">
      <c r="A5" s="11" t="s">
        <v>63</v>
      </c>
      <c r="B5" s="11" t="s">
        <v>64</v>
      </c>
      <c r="C5" s="11" t="s">
        <v>65</v>
      </c>
      <c r="D5" s="12">
        <v>900</v>
      </c>
      <c r="E5" s="18">
        <f>'Labor Attendance'!K5</f>
        <v>5.5</v>
      </c>
      <c r="F5" s="12">
        <f>D5*E5</f>
        <v>4950</v>
      </c>
      <c r="G5" s="12">
        <v>0</v>
      </c>
      <c r="H5" s="20">
        <f>F5-G5</f>
        <v>4950</v>
      </c>
    </row>
    <row r="6" spans="1:8">
      <c r="A6" s="11" t="s">
        <v>66</v>
      </c>
      <c r="B6" s="11" t="s">
        <v>67</v>
      </c>
      <c r="C6" s="11" t="s">
        <v>65</v>
      </c>
      <c r="D6" s="12">
        <v>900</v>
      </c>
      <c r="E6" s="18">
        <f>'Labor Attendance'!K6</f>
        <v>6</v>
      </c>
      <c r="F6" s="12">
        <f>D6*E6</f>
        <v>5400</v>
      </c>
      <c r="G6" s="12">
        <v>0</v>
      </c>
      <c r="H6" s="20">
        <f>F6-G6</f>
        <v>5400</v>
      </c>
    </row>
    <row r="7" spans="1:8">
      <c r="A7" s="11" t="s">
        <v>68</v>
      </c>
      <c r="B7" s="11" t="s">
        <v>69</v>
      </c>
      <c r="C7" s="11" t="s">
        <v>70</v>
      </c>
      <c r="D7" s="12">
        <v>600</v>
      </c>
      <c r="E7" s="18">
        <f>'Labor Attendance'!K7</f>
        <v>5</v>
      </c>
      <c r="F7" s="12">
        <f>D7*E7</f>
        <v>3000</v>
      </c>
      <c r="G7" s="12">
        <v>0</v>
      </c>
      <c r="H7" s="20">
        <f>F7-G7</f>
        <v>3000</v>
      </c>
    </row>
    <row r="8" spans="1:8">
      <c r="A8" s="11" t="s">
        <v>71</v>
      </c>
      <c r="B8" s="11" t="s">
        <v>72</v>
      </c>
      <c r="C8" s="11" t="s">
        <v>70</v>
      </c>
      <c r="D8" s="12">
        <v>600</v>
      </c>
      <c r="E8" s="18">
        <f>'Labor Attendance'!K8</f>
        <v>5.5</v>
      </c>
      <c r="F8" s="12">
        <f>D8*E8</f>
        <v>3300</v>
      </c>
      <c r="G8" s="12">
        <v>0</v>
      </c>
      <c r="H8" s="20">
        <f>F8-G8</f>
        <v>3300</v>
      </c>
    </row>
    <row r="9" spans="1:8">
      <c r="E9" s="16" t="s">
        <v>78</v>
      </c>
      <c r="H9" s="14">
        <f>SUM(H5:H8)</f>
        <v>16650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Expense Log</vt:lpstr>
      <vt:lpstr>Material Tracker</vt:lpstr>
      <vt:lpstr>Labor Attendance</vt:lpstr>
      <vt:lpstr>Labor Weekly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THANGAMANI, SANKAR</cp:lastModifiedBy>
  <dcterms:created xsi:type="dcterms:W3CDTF">2026-09-20T14:20:47Z</dcterms:created>
  <dcterms:modified xsi:type="dcterms:W3CDTF">2026-09-20T14:25:15Z</dcterms:modified>
</cp:coreProperties>
</file>